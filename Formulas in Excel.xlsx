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 Ivan\Downloads\"/>
    </mc:Choice>
  </mc:AlternateContent>
  <xr:revisionPtr revIDLastSave="0" documentId="13_ncr:1_{D012E8EA-46E3-4FCD-9EE8-3D6411532820}" xr6:coauthVersionLast="47" xr6:coauthVersionMax="47" xr10:uidLastSave="{00000000-0000-0000-0000-000000000000}"/>
  <bookViews>
    <workbookView xWindow="-12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3" i="5"/>
  <c r="L4" i="5"/>
  <c r="L5" i="5"/>
  <c r="L6" i="5"/>
  <c r="L7" i="5"/>
  <c r="L8" i="5"/>
  <c r="L9" i="5"/>
  <c r="L10" i="5"/>
  <c r="L2" i="5"/>
  <c r="K3" i="5"/>
  <c r="K4" i="5"/>
  <c r="K5" i="5"/>
  <c r="K6" i="5"/>
  <c r="K7" i="5"/>
  <c r="K8" i="5"/>
  <c r="K9" i="5"/>
  <c r="K10" i="5"/>
  <c r="K2" i="5"/>
  <c r="J3" i="5"/>
  <c r="J4" i="5"/>
  <c r="J5" i="5"/>
  <c r="J6" i="5"/>
  <c r="J7" i="5"/>
  <c r="J8" i="5"/>
  <c r="J9" i="5"/>
  <c r="J10" i="5"/>
  <c r="J2" i="5"/>
  <c r="L3" i="12"/>
  <c r="L4" i="12"/>
  <c r="L5" i="12"/>
  <c r="L6" i="12"/>
  <c r="L7" i="12"/>
  <c r="L8" i="12"/>
  <c r="L9" i="12"/>
  <c r="L10" i="12"/>
  <c r="L2" i="12"/>
  <c r="K3" i="12"/>
  <c r="K4" i="12"/>
  <c r="K5" i="12"/>
  <c r="K6" i="12"/>
  <c r="K7" i="12"/>
  <c r="K8" i="12"/>
  <c r="K9" i="12"/>
  <c r="K10" i="12"/>
  <c r="K2" i="12"/>
  <c r="J3" i="12"/>
  <c r="J4" i="12"/>
  <c r="J5" i="12"/>
  <c r="J6" i="12"/>
  <c r="J7" i="12"/>
  <c r="J8" i="12"/>
  <c r="J9" i="12"/>
  <c r="J10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<sst xmlns="http://schemas.openxmlformats.org/spreadsheetml/2006/main" count="583" uniqueCount="88">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</sst>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11" sqref="K11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D1" workbookViewId="0">
      <selection activeCell="N9" sqref="N9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14.28515625" customWidth="1"/>
    <col min="11" max="11" width="20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 "Old",  "Young")</f>
        <v>Young</v>
      </c>
      <c r="K2" t="str">
        <f>_xlfn.IFS(F2:F10 = "Salesman","Sales", F2:F10 = "HR","Fire Immediately",F2:F10 = "Regional Manager","Give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IF(D3:D11 &gt; 30, "Old",  "Young")</f>
        <v>Young</v>
      </c>
      <c r="K3" t="e">
        <f t="shared" ref="K3:K10" si="0">_xlfn.IFS(F3:F11 = "Salesman","Sales", F3:F11 = "HR","Fire Immediately",F3:F11 = "Regional Manager","Give Christmas Bonus")</f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ref="J4:J10" si="1">IF(D4:D12 &gt; 30, "Old",  "Young")</f>
        <v>Young</v>
      </c>
      <c r="K4" t="str">
        <f t="shared" si="0"/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1"/>
        <v>Old</v>
      </c>
      <c r="K5" t="e">
        <f t="shared" si="0"/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1"/>
        <v>Old</v>
      </c>
      <c r="K6" t="str">
        <f t="shared" si="0"/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1"/>
        <v>Old</v>
      </c>
      <c r="K7" t="str">
        <f t="shared" si="0"/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1"/>
        <v>Old</v>
      </c>
      <c r="K8" t="e">
        <f t="shared" si="0"/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1"/>
        <v>Old</v>
      </c>
      <c r="K9" t="str">
        <f t="shared" si="0"/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1"/>
        <v>Old</v>
      </c>
      <c r="K10" t="e">
        <f t="shared" si="0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L13" sqref="L1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K14" sqref="K14"/>
    </sheetView>
  </sheetViews>
  <sheetFormatPr defaultColWidth="14.5703125" defaultRowHeight="15" x14ac:dyDescent="0.25"/>
  <cols>
    <col min="4" max="4" width="8" customWidth="1"/>
    <col min="10" max="10" width="45.5703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 3)</f>
        <v>Jim</v>
      </c>
      <c r="L2" t="str">
        <f>RIGHT(A2:A10, 1)</f>
        <v>1</v>
      </c>
      <c r="M2" t="str">
        <f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 1)</f>
        <v>2</v>
      </c>
      <c r="M3" t="str">
        <f t="shared" ref="M3:M10" si="2">RIGHT(H3:H11, 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L9" sqref="L9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 "dd/mm/yyyy")</f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I14" sqref="I1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4" sqref="K1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5.42578125" customWidth="1"/>
    <col min="12" max="12" width="16.855468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:L10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  <c r="K3">
        <f t="shared" ref="K3:K10" si="1">SUMIF(G3:G11, "&gt;50000")</f>
        <v>128000</v>
      </c>
      <c r="L3">
        <f t="shared" ref="L3:L10" si="2">SUMIFS(G3:G11,E3:E11, "Female", D3:D11, "&gt;30")</f>
        <v>88000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  <c r="K4">
        <f t="shared" si="1"/>
        <v>128000</v>
      </c>
      <c r="L4">
        <f t="shared" si="2"/>
        <v>88000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  <c r="K5">
        <f t="shared" si="1"/>
        <v>65000</v>
      </c>
      <c r="L5">
        <f t="shared" si="2"/>
        <v>88000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  <c r="K6">
        <f t="shared" si="1"/>
        <v>65000</v>
      </c>
      <c r="L6">
        <f t="shared" si="2"/>
        <v>41000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  <c r="K7">
        <f t="shared" si="1"/>
        <v>65000</v>
      </c>
      <c r="L7">
        <f t="shared" si="2"/>
        <v>41000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  <c r="K8">
        <f t="shared" si="1"/>
        <v>0</v>
      </c>
      <c r="L8">
        <f t="shared" si="2"/>
        <v>41000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  <c r="K9">
        <f t="shared" si="1"/>
        <v>0</v>
      </c>
      <c r="L9">
        <f t="shared" si="2"/>
        <v>0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  <c r="K10">
        <f t="shared" si="1"/>
        <v>0</v>
      </c>
      <c r="L10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M7" sqref="M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 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COUNT(G3:G11)</f>
        <v>8</v>
      </c>
      <c r="K3">
        <f t="shared" ref="K3:K10" si="1">COUNTIF(G3:G11,"&gt;45000")</f>
        <v>5</v>
      </c>
      <c r="L3">
        <f t="shared" ref="L3:L10" si="2">COUNTIFS(A3:A11,"&gt;1005",E3:E11, "Male")</f>
        <v>3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  <c r="K4">
        <f t="shared" si="1"/>
        <v>5</v>
      </c>
      <c r="L4">
        <f t="shared" si="2"/>
        <v>3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  <c r="K5">
        <f t="shared" si="1"/>
        <v>4</v>
      </c>
      <c r="L5">
        <f t="shared" si="2"/>
        <v>3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</v>
      </c>
      <c r="K6">
        <f t="shared" si="1"/>
        <v>3</v>
      </c>
      <c r="L6">
        <f t="shared" si="2"/>
        <v>3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4</v>
      </c>
      <c r="K7">
        <f t="shared" si="1"/>
        <v>2</v>
      </c>
      <c r="L7">
        <f t="shared" si="2"/>
        <v>3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3</v>
      </c>
      <c r="K8">
        <f t="shared" si="1"/>
        <v>1</v>
      </c>
      <c r="L8">
        <f t="shared" si="2"/>
        <v>2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2</v>
      </c>
      <c r="K9">
        <f t="shared" si="1"/>
        <v>1</v>
      </c>
      <c r="L9">
        <f t="shared" si="2"/>
        <v>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1</v>
      </c>
      <c r="K10">
        <f t="shared" si="1"/>
        <v>0</v>
      </c>
      <c r="L10">
        <f t="shared" si="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L10" sqref="L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 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 C3)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N9" sqref="N9"/>
    </sheetView>
  </sheetViews>
  <sheetFormatPr defaultRowHeight="15" x14ac:dyDescent="0.25"/>
  <cols>
    <col min="8" max="8" width="15.7109375" customWidth="1"/>
    <col min="9" max="9" width="13.28515625" customWidth="1"/>
    <col min="10" max="10" width="14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Hans Ivan Manusca</cp:lastModifiedBy>
  <dcterms:created xsi:type="dcterms:W3CDTF">2021-12-16T14:18:34Z</dcterms:created>
  <dcterms:modified xsi:type="dcterms:W3CDTF">2025-04-07T01:48:09Z</dcterms:modified>
</cp:coreProperties>
</file>